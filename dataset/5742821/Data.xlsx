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Fatica Mentale\"/>
    </mc:Choice>
  </mc:AlternateContent>
  <bookViews>
    <workbookView xWindow="0" yWindow="0" windowWidth="24915" windowHeight="10365"/>
  </bookViews>
  <sheets>
    <sheet name="Foglio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5" i="1" l="1"/>
  <c r="D16" i="1" l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D15" i="1"/>
  <c r="E15" i="1"/>
  <c r="F15" i="1"/>
  <c r="G15" i="1"/>
  <c r="H15" i="1"/>
  <c r="I15" i="1"/>
  <c r="J15" i="1"/>
  <c r="K15" i="1"/>
  <c r="L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C16" i="1"/>
  <c r="C15" i="1"/>
</calcChain>
</file>

<file path=xl/sharedStrings.xml><?xml version="1.0" encoding="utf-8"?>
<sst xmlns="http://schemas.openxmlformats.org/spreadsheetml/2006/main" count="43" uniqueCount="27">
  <si>
    <t>Subject</t>
  </si>
  <si>
    <t>Frequency training (weekly)</t>
  </si>
  <si>
    <t>Age</t>
  </si>
  <si>
    <t>Height</t>
  </si>
  <si>
    <t>Weight</t>
  </si>
  <si>
    <t>Years of basketball</t>
  </si>
  <si>
    <t>Shot 1 (accuracy)</t>
  </si>
  <si>
    <t>Shot 1 (accuracy 1-20)</t>
  </si>
  <si>
    <t>Shot 1 (accuracy 21-40)</t>
  </si>
  <si>
    <t>Shot 1 (accuracy 41-60)</t>
  </si>
  <si>
    <t>Shot 2 (accuracy 1-20)</t>
  </si>
  <si>
    <t>Shot 2 (accuracy 21-40)</t>
  </si>
  <si>
    <t>Shot 2 (accuracy 41-60)</t>
  </si>
  <si>
    <t>Shot 2 (accuracy)</t>
  </si>
  <si>
    <t>Prontezza</t>
  </si>
  <si>
    <t>VAS MF 1</t>
  </si>
  <si>
    <t>VAS MF 2</t>
  </si>
  <si>
    <t>VAS MF 3</t>
  </si>
  <si>
    <t>VAS Mot 1</t>
  </si>
  <si>
    <t>VAS Mot 2</t>
  </si>
  <si>
    <t>VAS Mot 3</t>
  </si>
  <si>
    <t>Questions (accuracy)</t>
  </si>
  <si>
    <t>100.0</t>
  </si>
  <si>
    <t>Media</t>
  </si>
  <si>
    <t>Dev. St.</t>
  </si>
  <si>
    <t>Mental fatigue</t>
  </si>
  <si>
    <t>Mental fatigue + Sleep deprivation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</si>
</sst>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2" fillId="0" borderId="0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2" borderId="9" xfId="0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/>
    </xf>
    <xf numFmtId="164" fontId="2" fillId="2" borderId="5" xfId="0" applyNumberFormat="1" applyFont="1" applyFill="1" applyBorder="1" applyAlignment="1">
      <alignment horizontal="center" vertical="center"/>
    </xf>
    <xf numFmtId="2" fontId="2" fillId="2" borderId="3" xfId="0" applyNumberFormat="1" applyFont="1" applyFill="1" applyBorder="1" applyAlignment="1">
      <alignment horizontal="center" vertical="center"/>
    </xf>
    <xf numFmtId="2" fontId="2" fillId="2" borderId="7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164" fontId="2" fillId="2" borderId="3" xfId="0" applyNumberFormat="1" applyFont="1" applyFill="1" applyBorder="1" applyAlignment="1">
      <alignment horizontal="center" vertical="center"/>
    </xf>
    <xf numFmtId="164" fontId="2" fillId="2" borderId="0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6"/>
  <sheetViews>
    <sheetView tabSelected="1" zoomScale="64" zoomScaleNormal="64" workbookViewId="0">
      <selection activeCell="J39" sqref="J39:J40"/>
    </sheetView>
  </sheetViews>
  <sheetFormatPr defaultRowHeight="15" x14ac:dyDescent="0.25"/>
  <cols>
    <col min="1" max="1" width="25.5703125" customWidth="1"/>
    <col min="3" max="3" width="18.42578125" bestFit="1" customWidth="1"/>
    <col min="4" max="4" width="10.85546875" bestFit="1" customWidth="1"/>
    <col min="8" max="8" width="17.28515625" bestFit="1" customWidth="1"/>
    <col min="9" max="9" width="21.5703125" bestFit="1" customWidth="1"/>
    <col min="10" max="11" width="22.7109375" bestFit="1" customWidth="1"/>
    <col min="12" max="12" width="17.7109375" bestFit="1" customWidth="1"/>
    <col min="13" max="13" width="22" bestFit="1" customWidth="1"/>
    <col min="14" max="14" width="23.140625" customWidth="1"/>
    <col min="15" max="15" width="23.140625" bestFit="1" customWidth="1"/>
    <col min="16" max="20" width="11" customWidth="1"/>
    <col min="21" max="22" width="12" customWidth="1"/>
    <col min="23" max="23" width="21.5703125" bestFit="1" customWidth="1"/>
    <col min="24" max="24" width="17.28515625" bestFit="1" customWidth="1"/>
    <col min="25" max="25" width="12.42578125" customWidth="1"/>
    <col min="26" max="26" width="11" customWidth="1"/>
    <col min="27" max="27" width="12.5703125" customWidth="1"/>
    <col min="28" max="28" width="17.7109375" bestFit="1" customWidth="1"/>
    <col min="29" max="29" width="11.7109375" customWidth="1"/>
    <col min="30" max="30" width="13.42578125" customWidth="1"/>
    <col min="31" max="31" width="12.5703125" customWidth="1"/>
    <col min="32" max="32" width="11.140625" customWidth="1"/>
    <col min="33" max="33" width="11.5703125" customWidth="1"/>
    <col min="34" max="34" width="11.140625" customWidth="1"/>
    <col min="35" max="35" width="12.5703125" customWidth="1"/>
    <col min="36" max="36" width="12.85546875" customWidth="1"/>
    <col min="37" max="37" width="12" customWidth="1"/>
    <col min="38" max="38" width="11.42578125" customWidth="1"/>
    <col min="39" max="39" width="14" customWidth="1"/>
  </cols>
  <sheetData>
    <row r="1" spans="1:39" ht="15.75" thickBot="1" x14ac:dyDescent="0.3">
      <c r="H1" s="22" t="s">
        <v>25</v>
      </c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4"/>
      <c r="X1" s="22" t="s">
        <v>26</v>
      </c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4"/>
    </row>
    <row r="2" spans="1:39" ht="39" thickBot="1" x14ac:dyDescent="0.3">
      <c r="A2" s="13"/>
      <c r="B2" s="12" t="s">
        <v>0</v>
      </c>
      <c r="C2" s="5" t="s">
        <v>1</v>
      </c>
      <c r="D2" s="5" t="s">
        <v>5</v>
      </c>
      <c r="E2" s="5" t="s">
        <v>3</v>
      </c>
      <c r="F2" s="5" t="s">
        <v>4</v>
      </c>
      <c r="G2" s="4" t="s">
        <v>2</v>
      </c>
      <c r="H2" s="25" t="s">
        <v>6</v>
      </c>
      <c r="I2" s="5" t="s">
        <v>7</v>
      </c>
      <c r="J2" s="5" t="s">
        <v>8</v>
      </c>
      <c r="K2" s="5" t="s">
        <v>9</v>
      </c>
      <c r="L2" s="30" t="s">
        <v>13</v>
      </c>
      <c r="M2" s="5" t="s">
        <v>10</v>
      </c>
      <c r="N2" s="5" t="s">
        <v>11</v>
      </c>
      <c r="O2" s="5" t="s">
        <v>12</v>
      </c>
      <c r="P2" s="5" t="s">
        <v>14</v>
      </c>
      <c r="Q2" s="5" t="s">
        <v>15</v>
      </c>
      <c r="R2" s="5" t="s">
        <v>16</v>
      </c>
      <c r="S2" s="5" t="s">
        <v>17</v>
      </c>
      <c r="T2" s="5" t="s">
        <v>18</v>
      </c>
      <c r="U2" s="5" t="s">
        <v>19</v>
      </c>
      <c r="V2" s="5" t="s">
        <v>20</v>
      </c>
      <c r="W2" s="14" t="s">
        <v>21</v>
      </c>
      <c r="X2" s="25" t="s">
        <v>6</v>
      </c>
      <c r="Y2" s="5" t="s">
        <v>7</v>
      </c>
      <c r="Z2" s="5" t="s">
        <v>8</v>
      </c>
      <c r="AA2" s="5" t="s">
        <v>9</v>
      </c>
      <c r="AB2" s="30" t="s">
        <v>13</v>
      </c>
      <c r="AC2" s="5" t="s">
        <v>10</v>
      </c>
      <c r="AD2" s="5" t="s">
        <v>11</v>
      </c>
      <c r="AE2" s="5" t="s">
        <v>12</v>
      </c>
      <c r="AF2" s="5" t="s">
        <v>14</v>
      </c>
      <c r="AG2" s="5" t="s">
        <v>15</v>
      </c>
      <c r="AH2" s="5" t="s">
        <v>16</v>
      </c>
      <c r="AI2" s="5" t="s">
        <v>17</v>
      </c>
      <c r="AJ2" s="5" t="s">
        <v>18</v>
      </c>
      <c r="AK2" s="5" t="s">
        <v>19</v>
      </c>
      <c r="AL2" s="5" t="s">
        <v>20</v>
      </c>
      <c r="AM2" s="14" t="s">
        <v>21</v>
      </c>
    </row>
    <row r="3" spans="1:39" x14ac:dyDescent="0.25">
      <c r="A3" s="9"/>
      <c r="B3" s="9">
        <v>1</v>
      </c>
      <c r="C3" s="6"/>
      <c r="D3" s="6"/>
      <c r="E3" s="6"/>
      <c r="F3" s="6"/>
      <c r="G3" s="7"/>
      <c r="H3" s="26">
        <v>91.7</v>
      </c>
      <c r="I3" s="15">
        <v>95</v>
      </c>
      <c r="J3" s="15">
        <v>90</v>
      </c>
      <c r="K3" s="15">
        <v>90</v>
      </c>
      <c r="L3" s="31">
        <v>91.7</v>
      </c>
      <c r="M3" s="15">
        <v>90</v>
      </c>
      <c r="N3" s="15">
        <v>90</v>
      </c>
      <c r="O3" s="15">
        <v>95</v>
      </c>
      <c r="P3" s="6">
        <v>74</v>
      </c>
      <c r="Q3" s="6">
        <v>51</v>
      </c>
      <c r="R3" s="6">
        <v>71</v>
      </c>
      <c r="S3" s="6">
        <v>81</v>
      </c>
      <c r="T3" s="6">
        <v>68</v>
      </c>
      <c r="U3" s="6">
        <v>71</v>
      </c>
      <c r="V3" s="6">
        <v>75</v>
      </c>
      <c r="W3" s="16">
        <v>100</v>
      </c>
      <c r="X3" s="26">
        <v>81.7</v>
      </c>
      <c r="Y3" s="15">
        <v>80</v>
      </c>
      <c r="Z3" s="15">
        <v>75</v>
      </c>
      <c r="AA3" s="15">
        <v>90</v>
      </c>
      <c r="AB3" s="31">
        <v>90</v>
      </c>
      <c r="AC3" s="15">
        <v>95</v>
      </c>
      <c r="AD3" s="15">
        <v>85</v>
      </c>
      <c r="AE3" s="15">
        <v>90</v>
      </c>
      <c r="AF3" s="6">
        <v>62</v>
      </c>
      <c r="AG3" s="6">
        <v>89</v>
      </c>
      <c r="AH3" s="6">
        <v>90</v>
      </c>
      <c r="AI3" s="6">
        <v>86</v>
      </c>
      <c r="AJ3" s="6">
        <v>51</v>
      </c>
      <c r="AK3" s="6">
        <v>61</v>
      </c>
      <c r="AL3" s="6">
        <v>66</v>
      </c>
      <c r="AM3" s="16">
        <v>100</v>
      </c>
    </row>
    <row r="4" spans="1:39" x14ac:dyDescent="0.25">
      <c r="A4" s="10"/>
      <c r="B4" s="10">
        <v>2</v>
      </c>
      <c r="C4" s="1"/>
      <c r="D4" s="1"/>
      <c r="E4" s="1"/>
      <c r="F4" s="1"/>
      <c r="G4" s="2"/>
      <c r="H4" s="27">
        <v>70</v>
      </c>
      <c r="I4" s="3">
        <v>80</v>
      </c>
      <c r="J4" s="3">
        <v>80</v>
      </c>
      <c r="K4" s="3">
        <v>50</v>
      </c>
      <c r="L4" s="32">
        <v>68.3</v>
      </c>
      <c r="M4" s="3">
        <v>60</v>
      </c>
      <c r="N4" s="3">
        <v>70</v>
      </c>
      <c r="O4" s="3">
        <v>75</v>
      </c>
      <c r="P4" s="1">
        <v>61</v>
      </c>
      <c r="Q4" s="1">
        <v>41</v>
      </c>
      <c r="R4" s="1">
        <v>44</v>
      </c>
      <c r="S4" s="1">
        <v>80</v>
      </c>
      <c r="T4" s="1">
        <v>59</v>
      </c>
      <c r="U4" s="1">
        <v>62</v>
      </c>
      <c r="V4" s="1">
        <v>68</v>
      </c>
      <c r="W4" s="17">
        <v>91.7</v>
      </c>
      <c r="X4" s="27">
        <v>71.7</v>
      </c>
      <c r="Y4" s="3">
        <v>90</v>
      </c>
      <c r="Z4" s="3">
        <v>85</v>
      </c>
      <c r="AA4" s="3">
        <v>40</v>
      </c>
      <c r="AB4" s="32">
        <v>73.3</v>
      </c>
      <c r="AC4" s="3">
        <v>80</v>
      </c>
      <c r="AD4" s="3">
        <v>65</v>
      </c>
      <c r="AE4" s="3">
        <v>75</v>
      </c>
      <c r="AF4" s="1">
        <v>50</v>
      </c>
      <c r="AG4" s="1">
        <v>31</v>
      </c>
      <c r="AH4" s="1">
        <v>55</v>
      </c>
      <c r="AI4" s="1">
        <v>67</v>
      </c>
      <c r="AJ4" s="1">
        <v>60</v>
      </c>
      <c r="AK4" s="1">
        <v>62</v>
      </c>
      <c r="AL4" s="1">
        <v>59</v>
      </c>
      <c r="AM4" s="17">
        <v>75</v>
      </c>
    </row>
    <row r="5" spans="1:39" x14ac:dyDescent="0.25">
      <c r="A5" s="10"/>
      <c r="B5" s="10">
        <v>3</v>
      </c>
      <c r="C5" s="1"/>
      <c r="D5" s="1"/>
      <c r="E5" s="1"/>
      <c r="F5" s="1"/>
      <c r="G5" s="2"/>
      <c r="H5" s="27">
        <v>81.7</v>
      </c>
      <c r="I5" s="3">
        <v>80</v>
      </c>
      <c r="J5" s="3">
        <v>80</v>
      </c>
      <c r="K5" s="3">
        <v>85</v>
      </c>
      <c r="L5" s="32">
        <v>71.7</v>
      </c>
      <c r="M5" s="3">
        <v>75</v>
      </c>
      <c r="N5" s="3">
        <v>70</v>
      </c>
      <c r="O5" s="3">
        <v>70</v>
      </c>
      <c r="P5" s="1">
        <v>83</v>
      </c>
      <c r="Q5" s="1">
        <v>28</v>
      </c>
      <c r="R5" s="1">
        <v>26</v>
      </c>
      <c r="S5" s="1">
        <v>66</v>
      </c>
      <c r="T5" s="1">
        <v>76</v>
      </c>
      <c r="U5" s="1">
        <v>84</v>
      </c>
      <c r="V5" s="1">
        <v>65</v>
      </c>
      <c r="W5" s="17">
        <v>100</v>
      </c>
      <c r="X5" s="27">
        <v>81.7</v>
      </c>
      <c r="Y5" s="3">
        <v>90</v>
      </c>
      <c r="Z5" s="3">
        <v>75</v>
      </c>
      <c r="AA5" s="3">
        <v>80</v>
      </c>
      <c r="AB5" s="32">
        <v>71.7</v>
      </c>
      <c r="AC5" s="3">
        <v>75</v>
      </c>
      <c r="AD5" s="3">
        <v>80</v>
      </c>
      <c r="AE5" s="3">
        <v>60</v>
      </c>
      <c r="AF5" s="1">
        <v>91</v>
      </c>
      <c r="AG5" s="1">
        <v>51</v>
      </c>
      <c r="AH5" s="1">
        <v>65</v>
      </c>
      <c r="AI5" s="1">
        <v>75</v>
      </c>
      <c r="AJ5" s="1">
        <v>79</v>
      </c>
      <c r="AK5" s="1">
        <v>77</v>
      </c>
      <c r="AL5" s="1">
        <v>74</v>
      </c>
      <c r="AM5" s="17">
        <v>75</v>
      </c>
    </row>
    <row r="6" spans="1:39" x14ac:dyDescent="0.25">
      <c r="A6" s="10"/>
      <c r="B6" s="10">
        <v>4</v>
      </c>
      <c r="C6" s="1"/>
      <c r="D6" s="1"/>
      <c r="E6" s="1"/>
      <c r="F6" s="1"/>
      <c r="G6" s="2"/>
      <c r="H6" s="27">
        <v>78.3</v>
      </c>
      <c r="I6" s="3">
        <v>65</v>
      </c>
      <c r="J6" s="3">
        <v>80</v>
      </c>
      <c r="K6" s="3">
        <v>90</v>
      </c>
      <c r="L6" s="32">
        <v>78.3</v>
      </c>
      <c r="M6" s="3">
        <v>90</v>
      </c>
      <c r="N6" s="3">
        <v>75</v>
      </c>
      <c r="O6" s="3">
        <v>70</v>
      </c>
      <c r="P6" s="1">
        <v>80</v>
      </c>
      <c r="Q6" s="1">
        <v>47</v>
      </c>
      <c r="R6" s="1">
        <v>34</v>
      </c>
      <c r="S6" s="1">
        <v>62</v>
      </c>
      <c r="T6" s="1">
        <v>82</v>
      </c>
      <c r="U6" s="1">
        <v>88</v>
      </c>
      <c r="V6" s="1">
        <v>83</v>
      </c>
      <c r="W6" s="17">
        <v>83.3</v>
      </c>
      <c r="X6" s="27">
        <v>73.3</v>
      </c>
      <c r="Y6" s="3">
        <v>80</v>
      </c>
      <c r="Z6" s="3">
        <v>65</v>
      </c>
      <c r="AA6" s="3">
        <v>75</v>
      </c>
      <c r="AB6" s="32">
        <v>76.7</v>
      </c>
      <c r="AC6" s="3">
        <v>80</v>
      </c>
      <c r="AD6" s="3">
        <v>85</v>
      </c>
      <c r="AE6" s="3">
        <v>65</v>
      </c>
      <c r="AF6" s="1">
        <v>87</v>
      </c>
      <c r="AG6" s="1">
        <v>31</v>
      </c>
      <c r="AH6" s="1">
        <v>32</v>
      </c>
      <c r="AI6" s="1">
        <v>73</v>
      </c>
      <c r="AJ6" s="1">
        <v>86</v>
      </c>
      <c r="AK6" s="1">
        <v>87</v>
      </c>
      <c r="AL6" s="1">
        <v>70</v>
      </c>
      <c r="AM6" s="2">
        <v>83.3</v>
      </c>
    </row>
    <row r="7" spans="1:39" x14ac:dyDescent="0.25">
      <c r="A7" s="10"/>
      <c r="B7" s="10">
        <v>5</v>
      </c>
      <c r="C7" s="1"/>
      <c r="D7" s="1"/>
      <c r="E7" s="1"/>
      <c r="F7" s="1"/>
      <c r="G7" s="2"/>
      <c r="H7" s="27">
        <v>83.3</v>
      </c>
      <c r="I7" s="3">
        <v>80</v>
      </c>
      <c r="J7" s="3">
        <v>75</v>
      </c>
      <c r="K7" s="3">
        <v>95</v>
      </c>
      <c r="L7" s="32">
        <v>73.3</v>
      </c>
      <c r="M7" s="3">
        <v>80</v>
      </c>
      <c r="N7" s="3">
        <v>80</v>
      </c>
      <c r="O7" s="3">
        <v>60</v>
      </c>
      <c r="P7" s="1">
        <v>87</v>
      </c>
      <c r="Q7" s="1">
        <v>13</v>
      </c>
      <c r="R7" s="1">
        <v>13</v>
      </c>
      <c r="S7" s="1">
        <v>79</v>
      </c>
      <c r="T7" s="1">
        <v>95</v>
      </c>
      <c r="U7" s="1">
        <v>92</v>
      </c>
      <c r="V7" s="1">
        <v>96</v>
      </c>
      <c r="W7" s="17">
        <v>75</v>
      </c>
      <c r="X7" s="27">
        <v>70</v>
      </c>
      <c r="Y7" s="3">
        <v>65</v>
      </c>
      <c r="Z7" s="3">
        <v>80</v>
      </c>
      <c r="AA7" s="3">
        <v>65</v>
      </c>
      <c r="AB7" s="32">
        <v>75</v>
      </c>
      <c r="AC7" s="3">
        <v>80</v>
      </c>
      <c r="AD7" s="3">
        <v>65</v>
      </c>
      <c r="AE7" s="3">
        <v>80</v>
      </c>
      <c r="AF7" s="1">
        <v>93</v>
      </c>
      <c r="AG7" s="1">
        <v>88</v>
      </c>
      <c r="AH7" s="1">
        <v>56</v>
      </c>
      <c r="AI7" s="1">
        <v>71</v>
      </c>
      <c r="AJ7" s="1">
        <v>94</v>
      </c>
      <c r="AK7" s="1">
        <v>94</v>
      </c>
      <c r="AL7" s="1">
        <v>93</v>
      </c>
      <c r="AM7" s="2">
        <v>91.7</v>
      </c>
    </row>
    <row r="8" spans="1:39" x14ac:dyDescent="0.25">
      <c r="A8" s="10"/>
      <c r="B8" s="10">
        <v>6</v>
      </c>
      <c r="C8" s="1"/>
      <c r="D8" s="1"/>
      <c r="E8" s="1"/>
      <c r="F8" s="1"/>
      <c r="G8" s="2"/>
      <c r="H8" s="27">
        <v>90</v>
      </c>
      <c r="I8" s="3">
        <v>90</v>
      </c>
      <c r="J8" s="3">
        <v>90</v>
      </c>
      <c r="K8" s="3">
        <v>90</v>
      </c>
      <c r="L8" s="32">
        <v>63.3</v>
      </c>
      <c r="M8" s="3">
        <v>50</v>
      </c>
      <c r="N8" s="3">
        <v>80</v>
      </c>
      <c r="O8" s="3">
        <v>60</v>
      </c>
      <c r="P8" s="1">
        <v>71</v>
      </c>
      <c r="Q8" s="1">
        <v>41</v>
      </c>
      <c r="R8" s="1">
        <v>38</v>
      </c>
      <c r="S8" s="1">
        <v>99</v>
      </c>
      <c r="T8" s="1">
        <v>71</v>
      </c>
      <c r="U8" s="1">
        <v>86</v>
      </c>
      <c r="V8" s="1">
        <v>72</v>
      </c>
      <c r="W8" s="17">
        <v>100</v>
      </c>
      <c r="X8" s="33">
        <v>68.3</v>
      </c>
      <c r="Y8" s="3">
        <v>75</v>
      </c>
      <c r="Z8" s="3">
        <v>65</v>
      </c>
      <c r="AA8" s="3">
        <v>65</v>
      </c>
      <c r="AB8" s="32">
        <v>86.7</v>
      </c>
      <c r="AC8" s="3">
        <v>90</v>
      </c>
      <c r="AD8" s="3">
        <v>90</v>
      </c>
      <c r="AE8" s="3">
        <v>80</v>
      </c>
      <c r="AF8" s="1">
        <v>83</v>
      </c>
      <c r="AG8" s="1">
        <v>87</v>
      </c>
      <c r="AH8" s="1">
        <v>89</v>
      </c>
      <c r="AI8" s="1">
        <v>92</v>
      </c>
      <c r="AJ8" s="1">
        <v>85</v>
      </c>
      <c r="AK8" s="1">
        <v>93</v>
      </c>
      <c r="AL8" s="1">
        <v>91</v>
      </c>
      <c r="AM8" s="17">
        <v>100</v>
      </c>
    </row>
    <row r="9" spans="1:39" x14ac:dyDescent="0.25">
      <c r="A9" s="10"/>
      <c r="B9" s="10">
        <v>7</v>
      </c>
      <c r="C9" s="1"/>
      <c r="D9" s="1"/>
      <c r="E9" s="1"/>
      <c r="F9" s="1"/>
      <c r="G9" s="2"/>
      <c r="H9" s="27">
        <v>61.7</v>
      </c>
      <c r="I9" s="3">
        <v>80</v>
      </c>
      <c r="J9" s="3">
        <v>50</v>
      </c>
      <c r="K9" s="3">
        <v>55</v>
      </c>
      <c r="L9" s="32">
        <v>58.3</v>
      </c>
      <c r="M9" s="3">
        <v>45</v>
      </c>
      <c r="N9" s="3">
        <v>45</v>
      </c>
      <c r="O9" s="3">
        <v>85</v>
      </c>
      <c r="P9" s="1">
        <v>100</v>
      </c>
      <c r="Q9" s="1">
        <v>16</v>
      </c>
      <c r="R9" s="1">
        <v>4</v>
      </c>
      <c r="S9" s="1">
        <v>69</v>
      </c>
      <c r="T9" s="1">
        <v>100</v>
      </c>
      <c r="U9" s="1">
        <v>99</v>
      </c>
      <c r="V9" s="1">
        <v>99</v>
      </c>
      <c r="W9" s="17">
        <v>100</v>
      </c>
      <c r="X9" s="27">
        <v>60</v>
      </c>
      <c r="Y9" s="3">
        <v>55</v>
      </c>
      <c r="Z9" s="3">
        <v>65</v>
      </c>
      <c r="AA9" s="3">
        <v>60</v>
      </c>
      <c r="AB9" s="32">
        <v>60</v>
      </c>
      <c r="AC9" s="3">
        <v>50</v>
      </c>
      <c r="AD9" s="3">
        <v>55</v>
      </c>
      <c r="AE9" s="3">
        <v>75</v>
      </c>
      <c r="AF9" s="1">
        <v>100</v>
      </c>
      <c r="AG9" s="1">
        <v>59</v>
      </c>
      <c r="AH9" s="1">
        <v>64</v>
      </c>
      <c r="AI9" s="1">
        <v>77</v>
      </c>
      <c r="AJ9" s="1">
        <v>100</v>
      </c>
      <c r="AK9" s="1">
        <v>100</v>
      </c>
      <c r="AL9" s="1">
        <v>100</v>
      </c>
      <c r="AM9" s="17">
        <v>100</v>
      </c>
    </row>
    <row r="10" spans="1:39" x14ac:dyDescent="0.25">
      <c r="A10" s="10"/>
      <c r="B10" s="10">
        <v>8</v>
      </c>
      <c r="C10" s="1"/>
      <c r="D10" s="1"/>
      <c r="E10" s="1"/>
      <c r="F10" s="1"/>
      <c r="G10" s="2"/>
      <c r="H10" s="27">
        <v>90</v>
      </c>
      <c r="I10" s="3">
        <v>90</v>
      </c>
      <c r="J10" s="3">
        <v>90</v>
      </c>
      <c r="K10" s="3">
        <v>90</v>
      </c>
      <c r="L10" s="32">
        <v>90</v>
      </c>
      <c r="M10" s="3">
        <v>90</v>
      </c>
      <c r="N10" s="3">
        <v>90</v>
      </c>
      <c r="O10" s="3">
        <v>90</v>
      </c>
      <c r="P10" s="1">
        <v>99</v>
      </c>
      <c r="Q10" s="1">
        <v>40</v>
      </c>
      <c r="R10" s="1">
        <v>38</v>
      </c>
      <c r="S10" s="1">
        <v>55</v>
      </c>
      <c r="T10" s="1">
        <v>79</v>
      </c>
      <c r="U10" s="1">
        <v>72</v>
      </c>
      <c r="V10" s="1">
        <v>73</v>
      </c>
      <c r="W10" s="17">
        <v>100</v>
      </c>
      <c r="X10" s="33">
        <v>86.7</v>
      </c>
      <c r="Y10" s="3">
        <v>90</v>
      </c>
      <c r="Z10" s="3">
        <v>80</v>
      </c>
      <c r="AA10" s="3">
        <v>90</v>
      </c>
      <c r="AB10" s="32">
        <v>85</v>
      </c>
      <c r="AC10" s="3">
        <v>75</v>
      </c>
      <c r="AD10" s="3">
        <v>80</v>
      </c>
      <c r="AE10" s="3">
        <v>100</v>
      </c>
      <c r="AF10" s="1">
        <v>71</v>
      </c>
      <c r="AG10" s="1">
        <v>68</v>
      </c>
      <c r="AH10" s="1">
        <v>63</v>
      </c>
      <c r="AI10" s="1">
        <v>73</v>
      </c>
      <c r="AJ10" s="1">
        <v>62</v>
      </c>
      <c r="AK10" s="1">
        <v>55</v>
      </c>
      <c r="AL10" s="1">
        <v>61</v>
      </c>
      <c r="AM10" s="17">
        <v>100</v>
      </c>
    </row>
    <row r="11" spans="1:39" x14ac:dyDescent="0.25">
      <c r="A11" s="10"/>
      <c r="B11" s="10">
        <v>9</v>
      </c>
      <c r="C11" s="1"/>
      <c r="D11" s="1"/>
      <c r="E11" s="1"/>
      <c r="F11" s="1"/>
      <c r="G11" s="2"/>
      <c r="H11" s="27">
        <v>63.3</v>
      </c>
      <c r="I11" s="3">
        <v>65</v>
      </c>
      <c r="J11" s="3">
        <v>60</v>
      </c>
      <c r="K11" s="3">
        <v>65</v>
      </c>
      <c r="L11" s="32">
        <v>50</v>
      </c>
      <c r="M11" s="3">
        <v>55</v>
      </c>
      <c r="N11" s="3">
        <v>60</v>
      </c>
      <c r="O11" s="3">
        <v>35</v>
      </c>
      <c r="P11" s="1">
        <v>70</v>
      </c>
      <c r="Q11" s="1">
        <v>60</v>
      </c>
      <c r="R11" s="1">
        <v>61</v>
      </c>
      <c r="S11" s="1">
        <v>92</v>
      </c>
      <c r="T11" s="1">
        <v>73</v>
      </c>
      <c r="U11" s="1">
        <v>77</v>
      </c>
      <c r="V11" s="1">
        <v>63</v>
      </c>
      <c r="W11" s="2" t="s">
        <v>22</v>
      </c>
      <c r="X11" s="27">
        <v>50</v>
      </c>
      <c r="Y11" s="3">
        <v>35</v>
      </c>
      <c r="Z11" s="3">
        <v>60</v>
      </c>
      <c r="AA11" s="3">
        <v>55</v>
      </c>
      <c r="AB11" s="34">
        <v>46.7</v>
      </c>
      <c r="AC11" s="3">
        <v>40</v>
      </c>
      <c r="AD11" s="3">
        <v>60</v>
      </c>
      <c r="AE11" s="3">
        <v>40</v>
      </c>
      <c r="AF11" s="1">
        <v>63</v>
      </c>
      <c r="AG11" s="1">
        <v>90</v>
      </c>
      <c r="AH11" s="1">
        <v>80</v>
      </c>
      <c r="AI11" s="1">
        <v>81</v>
      </c>
      <c r="AJ11" s="1">
        <v>82</v>
      </c>
      <c r="AK11" s="1">
        <v>83</v>
      </c>
      <c r="AL11" s="1">
        <v>85</v>
      </c>
      <c r="AM11" s="2">
        <v>91.7</v>
      </c>
    </row>
    <row r="12" spans="1:39" x14ac:dyDescent="0.25">
      <c r="A12" s="10"/>
      <c r="B12" s="10">
        <v>10</v>
      </c>
      <c r="C12" s="1"/>
      <c r="D12" s="1"/>
      <c r="E12" s="1"/>
      <c r="F12" s="1"/>
      <c r="G12" s="2"/>
      <c r="H12" s="27">
        <v>66.7</v>
      </c>
      <c r="I12" s="3">
        <v>60</v>
      </c>
      <c r="J12" s="3">
        <v>80</v>
      </c>
      <c r="K12" s="3">
        <v>60</v>
      </c>
      <c r="L12" s="32">
        <v>50</v>
      </c>
      <c r="M12" s="3">
        <v>55</v>
      </c>
      <c r="N12" s="3">
        <v>35</v>
      </c>
      <c r="O12" s="3">
        <v>60</v>
      </c>
      <c r="P12" s="1">
        <v>95</v>
      </c>
      <c r="Q12" s="1">
        <v>40</v>
      </c>
      <c r="R12" s="1">
        <v>52</v>
      </c>
      <c r="S12" s="1">
        <v>65</v>
      </c>
      <c r="T12" s="1">
        <v>88</v>
      </c>
      <c r="U12" s="1">
        <v>95</v>
      </c>
      <c r="V12" s="1">
        <v>84</v>
      </c>
      <c r="W12" s="17">
        <v>100</v>
      </c>
      <c r="X12" s="33">
        <v>53.3</v>
      </c>
      <c r="Y12" s="3">
        <v>50</v>
      </c>
      <c r="Z12" s="3">
        <v>55</v>
      </c>
      <c r="AA12" s="3">
        <v>55</v>
      </c>
      <c r="AB12" s="32">
        <v>55</v>
      </c>
      <c r="AC12" s="3">
        <v>50</v>
      </c>
      <c r="AD12" s="3">
        <v>55</v>
      </c>
      <c r="AE12" s="3">
        <v>60</v>
      </c>
      <c r="AF12" s="1">
        <v>53</v>
      </c>
      <c r="AG12" s="1">
        <v>39</v>
      </c>
      <c r="AH12" s="1">
        <v>42</v>
      </c>
      <c r="AI12" s="1">
        <v>48</v>
      </c>
      <c r="AJ12" s="1">
        <v>72</v>
      </c>
      <c r="AK12" s="1">
        <v>78</v>
      </c>
      <c r="AL12" s="1">
        <v>80</v>
      </c>
      <c r="AM12" s="17">
        <v>100</v>
      </c>
    </row>
    <row r="13" spans="1:39" x14ac:dyDescent="0.25">
      <c r="A13" s="10"/>
      <c r="B13" s="10">
        <v>11</v>
      </c>
      <c r="C13" s="1"/>
      <c r="D13" s="1"/>
      <c r="E13" s="1"/>
      <c r="F13" s="1"/>
      <c r="G13" s="2"/>
      <c r="H13" s="27">
        <v>43.3</v>
      </c>
      <c r="I13" s="3">
        <v>50</v>
      </c>
      <c r="J13" s="3">
        <v>40</v>
      </c>
      <c r="K13" s="3">
        <v>40</v>
      </c>
      <c r="L13" s="32">
        <v>36.700000000000003</v>
      </c>
      <c r="M13" s="3">
        <v>55</v>
      </c>
      <c r="N13" s="3">
        <v>20</v>
      </c>
      <c r="O13" s="3">
        <v>35</v>
      </c>
      <c r="P13" s="1">
        <v>72</v>
      </c>
      <c r="Q13" s="1">
        <v>56</v>
      </c>
      <c r="R13" s="1">
        <v>56</v>
      </c>
      <c r="S13" s="1">
        <v>90</v>
      </c>
      <c r="T13" s="1">
        <v>100</v>
      </c>
      <c r="U13" s="1">
        <v>99</v>
      </c>
      <c r="V13" s="1">
        <v>98</v>
      </c>
      <c r="W13" s="2">
        <v>91.7</v>
      </c>
      <c r="X13" s="27">
        <v>45</v>
      </c>
      <c r="Y13" s="3">
        <v>35</v>
      </c>
      <c r="Z13" s="3">
        <v>55</v>
      </c>
      <c r="AA13" s="3">
        <v>45</v>
      </c>
      <c r="AB13" s="32">
        <v>40</v>
      </c>
      <c r="AC13" s="3">
        <v>35</v>
      </c>
      <c r="AD13" s="3">
        <v>40</v>
      </c>
      <c r="AE13" s="3">
        <v>45</v>
      </c>
      <c r="AF13" s="1">
        <v>100</v>
      </c>
      <c r="AG13" s="1">
        <v>63</v>
      </c>
      <c r="AH13" s="1">
        <v>63</v>
      </c>
      <c r="AI13" s="1">
        <v>75</v>
      </c>
      <c r="AJ13" s="1">
        <v>100</v>
      </c>
      <c r="AK13" s="1">
        <v>99</v>
      </c>
      <c r="AL13" s="1">
        <v>99</v>
      </c>
      <c r="AM13" s="2">
        <v>91.7</v>
      </c>
    </row>
    <row r="14" spans="1:39" ht="15.75" thickBot="1" x14ac:dyDescent="0.3">
      <c r="A14" s="10"/>
      <c r="B14" s="10">
        <v>12</v>
      </c>
      <c r="C14" s="1"/>
      <c r="D14" s="1"/>
      <c r="E14" s="1"/>
      <c r="F14" s="1"/>
      <c r="G14" s="2"/>
      <c r="H14" s="27">
        <v>71.7</v>
      </c>
      <c r="I14" s="3">
        <v>70</v>
      </c>
      <c r="J14" s="3">
        <v>75</v>
      </c>
      <c r="K14" s="3">
        <v>70</v>
      </c>
      <c r="L14" s="32">
        <v>63.3</v>
      </c>
      <c r="M14" s="3">
        <v>45</v>
      </c>
      <c r="N14" s="3">
        <v>80</v>
      </c>
      <c r="O14" s="3">
        <v>65</v>
      </c>
      <c r="P14" s="1">
        <v>58</v>
      </c>
      <c r="Q14" s="1">
        <v>43</v>
      </c>
      <c r="R14" s="1">
        <v>50</v>
      </c>
      <c r="S14" s="1">
        <v>66</v>
      </c>
      <c r="T14" s="1">
        <v>60</v>
      </c>
      <c r="U14" s="1">
        <v>55</v>
      </c>
      <c r="V14" s="1">
        <v>62</v>
      </c>
      <c r="W14" s="2">
        <v>100</v>
      </c>
      <c r="X14" s="33">
        <v>56.7</v>
      </c>
      <c r="Y14" s="3">
        <v>50</v>
      </c>
      <c r="Z14" s="3">
        <v>45</v>
      </c>
      <c r="AA14" s="3">
        <v>75</v>
      </c>
      <c r="AB14" s="34">
        <v>43.3</v>
      </c>
      <c r="AC14" s="3">
        <v>45</v>
      </c>
      <c r="AD14" s="3">
        <v>50</v>
      </c>
      <c r="AE14" s="3">
        <v>35</v>
      </c>
      <c r="AF14" s="1">
        <v>56</v>
      </c>
      <c r="AG14" s="1">
        <v>63</v>
      </c>
      <c r="AH14" s="1">
        <v>64</v>
      </c>
      <c r="AI14" s="1">
        <v>99</v>
      </c>
      <c r="AJ14" s="1">
        <v>58</v>
      </c>
      <c r="AK14" s="1">
        <v>52</v>
      </c>
      <c r="AL14" s="1">
        <v>76</v>
      </c>
      <c r="AM14" s="17">
        <v>100</v>
      </c>
    </row>
    <row r="15" spans="1:39" x14ac:dyDescent="0.25">
      <c r="A15" s="9" t="s">
        <v>23</v>
      </c>
      <c r="B15" s="9">
        <v>13</v>
      </c>
      <c r="C15" s="6" t="e">
        <f>AVERAGE(C3:C14)</f>
        <v>#DIV/0!</v>
      </c>
      <c r="D15" s="6" t="e">
        <f t="shared" ref="D15:AM15" si="0">AVERAGE(D3:D14)</f>
        <v>#DIV/0!</v>
      </c>
      <c r="E15" s="6" t="e">
        <f t="shared" si="0"/>
        <v>#DIV/0!</v>
      </c>
      <c r="F15" s="6" t="e">
        <f t="shared" si="0"/>
        <v>#DIV/0!</v>
      </c>
      <c r="G15" s="6" t="e">
        <f t="shared" si="0"/>
        <v>#DIV/0!</v>
      </c>
      <c r="H15" s="28">
        <f t="shared" si="0"/>
        <v>74.308333333333337</v>
      </c>
      <c r="I15" s="18">
        <f t="shared" si="0"/>
        <v>75.416666666666671</v>
      </c>
      <c r="J15" s="18">
        <f t="shared" si="0"/>
        <v>74.166666666666671</v>
      </c>
      <c r="K15" s="18">
        <f t="shared" si="0"/>
        <v>73.333333333333329</v>
      </c>
      <c r="L15" s="28">
        <f t="shared" si="0"/>
        <v>66.241666666666674</v>
      </c>
      <c r="M15" s="18">
        <f>AVERAGE(M3:M14)</f>
        <v>65.833333333333329</v>
      </c>
      <c r="N15" s="18">
        <f t="shared" si="0"/>
        <v>66.25</v>
      </c>
      <c r="O15" s="18">
        <f t="shared" si="0"/>
        <v>66.666666666666671</v>
      </c>
      <c r="P15" s="18">
        <f t="shared" si="0"/>
        <v>79.166666666666671</v>
      </c>
      <c r="Q15" s="18">
        <f t="shared" si="0"/>
        <v>39.666666666666664</v>
      </c>
      <c r="R15" s="18">
        <f t="shared" si="0"/>
        <v>40.583333333333336</v>
      </c>
      <c r="S15" s="18">
        <f t="shared" si="0"/>
        <v>75.333333333333329</v>
      </c>
      <c r="T15" s="18">
        <f t="shared" si="0"/>
        <v>79.25</v>
      </c>
      <c r="U15" s="18">
        <f t="shared" si="0"/>
        <v>81.666666666666671</v>
      </c>
      <c r="V15" s="18">
        <f t="shared" si="0"/>
        <v>78.166666666666671</v>
      </c>
      <c r="W15" s="18">
        <f t="shared" si="0"/>
        <v>94.7</v>
      </c>
      <c r="X15" s="28">
        <f t="shared" si="0"/>
        <v>66.533333333333346</v>
      </c>
      <c r="Y15" s="18">
        <f t="shared" si="0"/>
        <v>66.25</v>
      </c>
      <c r="Z15" s="18">
        <f t="shared" si="0"/>
        <v>67.083333333333329</v>
      </c>
      <c r="AA15" s="18">
        <f t="shared" si="0"/>
        <v>66.25</v>
      </c>
      <c r="AB15" s="28">
        <f t="shared" si="0"/>
        <v>66.95</v>
      </c>
      <c r="AC15" s="18">
        <f t="shared" si="0"/>
        <v>66.25</v>
      </c>
      <c r="AD15" s="18">
        <f t="shared" si="0"/>
        <v>67.5</v>
      </c>
      <c r="AE15" s="18">
        <f t="shared" si="0"/>
        <v>67.083333333333329</v>
      </c>
      <c r="AF15" s="18">
        <f t="shared" si="0"/>
        <v>75.75</v>
      </c>
      <c r="AG15" s="18">
        <f t="shared" si="0"/>
        <v>63.25</v>
      </c>
      <c r="AH15" s="18">
        <f t="shared" si="0"/>
        <v>63.583333333333336</v>
      </c>
      <c r="AI15" s="18">
        <f t="shared" si="0"/>
        <v>76.416666666666671</v>
      </c>
      <c r="AJ15" s="18">
        <f t="shared" si="0"/>
        <v>77.416666666666671</v>
      </c>
      <c r="AK15" s="18">
        <f t="shared" si="0"/>
        <v>78.416666666666671</v>
      </c>
      <c r="AL15" s="18">
        <f t="shared" si="0"/>
        <v>79.5</v>
      </c>
      <c r="AM15" s="19">
        <f t="shared" si="0"/>
        <v>92.366666666666674</v>
      </c>
    </row>
    <row r="16" spans="1:39" ht="15.75" thickBot="1" x14ac:dyDescent="0.3">
      <c r="A16" s="11" t="s">
        <v>24</v>
      </c>
      <c r="B16" s="11">
        <v>14</v>
      </c>
      <c r="C16" s="8" t="e">
        <f>STDEV(C3:C14)</f>
        <v>#DIV/0!</v>
      </c>
      <c r="D16" s="8" t="e">
        <f t="shared" ref="D16:AM16" si="1">STDEV(D3:D14)</f>
        <v>#DIV/0!</v>
      </c>
      <c r="E16" s="8" t="e">
        <f t="shared" si="1"/>
        <v>#DIV/0!</v>
      </c>
      <c r="F16" s="8" t="e">
        <f t="shared" si="1"/>
        <v>#DIV/0!</v>
      </c>
      <c r="G16" s="8" t="e">
        <f t="shared" si="1"/>
        <v>#DIV/0!</v>
      </c>
      <c r="H16" s="29">
        <f t="shared" si="1"/>
        <v>14.369377688386985</v>
      </c>
      <c r="I16" s="20">
        <f t="shared" si="1"/>
        <v>13.561029280682037</v>
      </c>
      <c r="J16" s="20">
        <f t="shared" si="1"/>
        <v>16.072751268321607</v>
      </c>
      <c r="K16" s="20">
        <f t="shared" si="1"/>
        <v>18.989630344113085</v>
      </c>
      <c r="L16" s="29">
        <f t="shared" si="1"/>
        <v>16.299774584795639</v>
      </c>
      <c r="M16" s="20">
        <f t="shared" si="1"/>
        <v>17.943514064131829</v>
      </c>
      <c r="N16" s="20">
        <f t="shared" si="1"/>
        <v>22.169286698657508</v>
      </c>
      <c r="O16" s="20">
        <f t="shared" si="1"/>
        <v>18.869568253158466</v>
      </c>
      <c r="P16" s="20">
        <f t="shared" si="1"/>
        <v>14.018386195106482</v>
      </c>
      <c r="Q16" s="20">
        <f t="shared" si="1"/>
        <v>14.411695587160096</v>
      </c>
      <c r="R16" s="20">
        <f t="shared" si="1"/>
        <v>19.491062442861221</v>
      </c>
      <c r="S16" s="20">
        <f t="shared" si="1"/>
        <v>13.593670541390917</v>
      </c>
      <c r="T16" s="20">
        <f t="shared" si="1"/>
        <v>14.200672199198561</v>
      </c>
      <c r="U16" s="20">
        <f t="shared" si="1"/>
        <v>14.386441428292732</v>
      </c>
      <c r="V16" s="20">
        <f t="shared" si="1"/>
        <v>13.637070688740211</v>
      </c>
      <c r="W16" s="20">
        <f t="shared" si="1"/>
        <v>8.5596728909462403</v>
      </c>
      <c r="X16" s="29">
        <f t="shared" si="1"/>
        <v>13.503893938977372</v>
      </c>
      <c r="Y16" s="20">
        <f t="shared" si="1"/>
        <v>20.793902078166177</v>
      </c>
      <c r="Z16" s="20">
        <f t="shared" si="1"/>
        <v>12.146517146403678</v>
      </c>
      <c r="AA16" s="20">
        <f t="shared" si="1"/>
        <v>16.254370041762474</v>
      </c>
      <c r="AB16" s="29">
        <f t="shared" si="1"/>
        <v>17.468699280297159</v>
      </c>
      <c r="AC16" s="20">
        <f t="shared" si="1"/>
        <v>20.793902078166177</v>
      </c>
      <c r="AD16" s="20">
        <f t="shared" si="1"/>
        <v>16.166744767071581</v>
      </c>
      <c r="AE16" s="20">
        <f t="shared" si="1"/>
        <v>20.052015692526602</v>
      </c>
      <c r="AF16" s="20">
        <f t="shared" si="1"/>
        <v>18.660239694455843</v>
      </c>
      <c r="AG16" s="20">
        <f t="shared" si="1"/>
        <v>22.185683344322424</v>
      </c>
      <c r="AH16" s="20">
        <f t="shared" si="1"/>
        <v>17.085125552699779</v>
      </c>
      <c r="AI16" s="20">
        <f t="shared" si="1"/>
        <v>12.859084749936951</v>
      </c>
      <c r="AJ16" s="20">
        <f t="shared" si="1"/>
        <v>16.773671649524474</v>
      </c>
      <c r="AK16" s="20">
        <f t="shared" si="1"/>
        <v>17.217635426996651</v>
      </c>
      <c r="AL16" s="20">
        <f t="shared" si="1"/>
        <v>14.215868214460526</v>
      </c>
      <c r="AM16" s="21">
        <f t="shared" si="1"/>
        <v>9.7063553063614201</v>
      </c>
    </row>
  </sheetData>
  <mergeCells count="2">
    <mergeCell ref="H1:W1"/>
    <mergeCell ref="X1:AM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Filipas</dc:creator>
  <cp:lastModifiedBy>Jacopo Vitale</cp:lastModifiedBy>
  <dcterms:created xsi:type="dcterms:W3CDTF">2018-09-18T12:07:51Z</dcterms:created>
  <dcterms:modified xsi:type="dcterms:W3CDTF">2019-01-11T13:36:35Z</dcterms:modified>
</cp:coreProperties>
</file>